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lwaadp\Downloads\"/>
    </mc:Choice>
  </mc:AlternateContent>
  <xr:revisionPtr revIDLastSave="0" documentId="8_{779F2135-1D2D-44D7-BCC0-12B826BC7646}" xr6:coauthVersionLast="47" xr6:coauthVersionMax="47" xr10:uidLastSave="{00000000-0000-0000-0000-000000000000}"/>
  <bookViews>
    <workbookView xWindow="-110" yWindow="-110" windowWidth="19200" windowHeight="9020" xr2:uid="{00000000-000D-0000-FFFF-FFFF00000000}"/>
  </bookViews>
  <sheets>
    <sheet name="Technical Dashboard" sheetId="1" r:id="rId1"/>
    <sheet name="Technical Stats Matrix" sheetId="2" r:id="rId2"/>
    <sheet name="SNOW + Teams Details" sheetId="3" r:id="rId3"/>
    <sheet name="Teams Alerting Lambda" sheetId="4" r:id="rId4"/>
    <sheet name="Effort 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F6" i="5"/>
  <c r="F5" i="5"/>
  <c r="F4" i="5"/>
  <c r="F7" i="5" l="1"/>
</calcChain>
</file>

<file path=xl/sharedStrings.xml><?xml version="1.0" encoding="utf-8"?>
<sst xmlns="http://schemas.openxmlformats.org/spreadsheetml/2006/main" count="246" uniqueCount="210">
  <si>
    <t>AWS Production Support Automation - Technical Impact Summary</t>
  </si>
  <si>
    <t>Manager-ready technical stats for ServiceNow incident automation, Microsoft Teams alerting automation and Alliance delay detection.</t>
  </si>
  <si>
    <t>Metric</t>
  </si>
  <si>
    <t>Technical Stat</t>
  </si>
  <si>
    <t>Why It Matters</t>
  </si>
  <si>
    <t>Evidence / Basis</t>
  </si>
  <si>
    <t>Total manual effort reduced</t>
  </si>
  <si>
    <t>Represents production toil reduced through incident lifecycle automation, Teams triage acceleration and Alliance delay monitoring.</t>
  </si>
  <si>
    <t>Detection latency</t>
  </si>
  <si>
    <t>&lt;30 sec</t>
  </si>
  <si>
    <t>EventBridge-driven detection replaced manual console checks and delayed human discovery.</t>
  </si>
  <si>
    <t>EventBridge events trigger Lambda immediately</t>
  </si>
  <si>
    <t>Unified failure signals</t>
  </si>
  <si>
    <t>3 → 1</t>
  </si>
  <si>
    <t>Glue failure, child Step Function failure and parent Step Function failure are correlated into one actionable support flow.</t>
  </si>
  <si>
    <t>Glue + child StepFn + parent StepFn correlation</t>
  </si>
  <si>
    <t>Incident lifecycle</t>
  </si>
  <si>
    <t>Create → Update → Resolve</t>
  </si>
  <si>
    <t>Removes manual ServiceNow ticket handling across retry cycles.</t>
  </si>
  <si>
    <t>Stateful Lambda + S3 incident state</t>
  </si>
  <si>
    <t>Alerting lifecycle</t>
  </si>
  <si>
    <t>Detect → Enrich → Notify → Link</t>
  </si>
  <si>
    <t>Teams alerts provide the same debugging context as ServiceNow incidents, reducing engineer investigation time.</t>
  </si>
  <si>
    <t>Adaptive Cards + CloudWatch links + root-cause summary</t>
  </si>
  <si>
    <t>External API resilience</t>
  </si>
  <si>
    <t>Retry + cache</t>
  </si>
  <si>
    <t>ServiceNow and Teams webhook failures are retried without breaking monitoring flow.</t>
  </si>
  <si>
    <t>HTTP timeout/retry handling</t>
  </si>
  <si>
    <t>Business delay monitoring</t>
  </si>
  <si>
    <t>15-min checks</t>
  </si>
  <si>
    <t>Alliance report delay checks run automatically and notify business stakeholders proactively.</t>
  </si>
  <si>
    <t>EventBridge schedule + SNS + S3 marker</t>
  </si>
  <si>
    <t>Automation Area</t>
  </si>
  <si>
    <t>Primary Technical Capability</t>
  </si>
  <si>
    <t>Estimated Hours Reduced / Year</t>
  </si>
  <si>
    <t>Technical Impact</t>
  </si>
  <si>
    <t>ServiceNow Incident Automation</t>
  </si>
  <si>
    <t>Failure correlation + incident lifecycle</t>
  </si>
  <si>
    <t>Automates incident creation, retry updates, resolution and root-cause enrichment.</t>
  </si>
  <si>
    <t>Microsoft Teams Alerting Automation</t>
  </si>
  <si>
    <t>Failure/status alert enrichment + debugging context</t>
  </si>
  <si>
    <t>Provides the same debugging context directly in Teams, reducing console/log investigation effort.</t>
  </si>
  <si>
    <t>Alliance Delay Detection</t>
  </si>
  <si>
    <t>Scheduled SLA monitoring + proactive notification</t>
  </si>
  <si>
    <t>Automates business delay checks and prevents duplicate daily alerts.</t>
  </si>
  <si>
    <t>Total</t>
  </si>
  <si>
    <t>Combined automation impact</t>
  </si>
  <si>
    <t>Estimated annual engineering/support effort returned.</t>
  </si>
  <si>
    <t>Technical Capability Matrix</t>
  </si>
  <si>
    <t>Technical Area</t>
  </si>
  <si>
    <t>Before Automation</t>
  </si>
  <si>
    <t>Implemented Capability</t>
  </si>
  <si>
    <t>ServiceNow</t>
  </si>
  <si>
    <t>Teams Alerting</t>
  </si>
  <si>
    <t>Alliance Delay</t>
  </si>
  <si>
    <t>Measurable Technical Outcome</t>
  </si>
  <si>
    <t>Event ingestion</t>
  </si>
  <si>
    <t>Engineers relied on manual observation or delayed investigation.</t>
  </si>
  <si>
    <t>EventBridge-driven processing of AWS Glue and Step Function events.</t>
  </si>
  <si>
    <t>Yes</t>
  </si>
  <si>
    <t>Partial</t>
  </si>
  <si>
    <t>&lt;30 sec detection path for failure/status events.</t>
  </si>
  <si>
    <t>Failure correlation</t>
  </si>
  <si>
    <t>Glue, child Step Function and parent Step Function looked like disconnected signals.</t>
  </si>
  <si>
    <t>Lambda correlates AWS signals and execution context before action.</t>
  </si>
  <si>
    <t>No</t>
  </si>
  <si>
    <t>3 failure signals unified into 1 support-ready context.</t>
  </si>
  <si>
    <t>Root-cause evidence</t>
  </si>
  <si>
    <t>Engineers manually opened CloudWatch logs and copied meaningful error details.</t>
  </si>
  <si>
    <t>Automation extracts/attaches relevant diagnostics and CloudWatch links.</t>
  </si>
  <si>
    <t>Debugging evidence available immediately in incident + Teams alert.</t>
  </si>
  <si>
    <t>Duplicate suppression</t>
  </si>
  <si>
    <t>Duplicate incidents/alerts could be generated from parent-child execution paths.</t>
  </si>
  <si>
    <t>S3 state and parent-child cache suppress duplicate actions.</t>
  </si>
  <si>
    <t>One action per genuine failure or daily business event.</t>
  </si>
  <si>
    <t>Lifecycle automation</t>
  </si>
  <si>
    <t>Incidents and updates were manually tracked across retries.</t>
  </si>
  <si>
    <t>State-aware Create → Update → Resolve logic.</t>
  </si>
  <si>
    <t>Manual incident lifecycle removed.</t>
  </si>
  <si>
    <t>Alert enrichment</t>
  </si>
  <si>
    <t>Teams updates were manual and lacked consistent technical details.</t>
  </si>
  <si>
    <t>Adaptive Card content includes pipeline, job, status, duration, root cause and CloudWatch link.</t>
  </si>
  <si>
    <t>Debugging context reaches engineers without AWS console lookup.</t>
  </si>
  <si>
    <t>Webhook/API resilience</t>
  </si>
  <si>
    <t>External API timeout could interrupt monitoring/notification flow.</t>
  </si>
  <si>
    <t>Retry handling with bounded HTTP timeouts.</t>
  </si>
  <si>
    <t>Monitoring continues gracefully even when integrations are unstable.</t>
  </si>
  <si>
    <t>Token optimization</t>
  </si>
  <si>
    <t>OAuth token could be generated repeatedly.</t>
  </si>
  <si>
    <t>OAuth access token reused for 25 minutes with refresh on expiry/401.</t>
  </si>
  <si>
    <t>Authentication overhead reduced.</t>
  </si>
  <si>
    <t>Time/date edge handling</t>
  </si>
  <si>
    <t>Midnight rollover could create duplicate or unmapped records.</t>
  </si>
  <si>
    <t>Date-aware S3 state and previous-day lookup logic.</t>
  </si>
  <si>
    <t>Reduced duplicate behavior around date boundary.</t>
  </si>
  <si>
    <t>Business SLA monitoring</t>
  </si>
  <si>
    <t>Delay checks required manual workflow review.</t>
  </si>
  <si>
    <t>Scheduled workflow status checks and daily dedup marker.</t>
  </si>
  <si>
    <t>15-minute automated report delay monitoring.</t>
  </si>
  <si>
    <t>ServiceNow + Teams: Shared Failure Intelligence, Equal Technical Impact</t>
  </si>
  <si>
    <t>Layer</t>
  </si>
  <si>
    <t>Shared Technical Value</t>
  </si>
  <si>
    <t>Impact Metric</t>
  </si>
  <si>
    <t>Manager Note</t>
  </si>
  <si>
    <t>Event trigger</t>
  </si>
  <si>
    <t>Consumes Glue and Step Function failure events.</t>
  </si>
  <si>
    <t>Consumes GenuineFailureDetected and PipelineStatusNotification events.</t>
  </si>
  <si>
    <t>Both are event-driven and remove manual monitoring.</t>
  </si>
  <si>
    <t>&lt;30 sec detection</t>
  </si>
  <si>
    <t>Real-time operational response.</t>
  </si>
  <si>
    <t>Context enrichment</t>
  </si>
  <si>
    <t>Adds parent pipeline, failed job, execution details and root-cause evidence to incidents.</t>
  </si>
  <si>
    <t>Adds pipeline, job, status, duration, root cause and CloudWatch link to Adaptive Cards.</t>
  </si>
  <si>
    <t>Same debugging evidence is made available in both ticketing and collaboration channels.</t>
  </si>
  <si>
    <t>Debugging time reduced</t>
  </si>
  <si>
    <t>Teams deserves same impact weight because it accelerates investigation.</t>
  </si>
  <si>
    <t>Action taken</t>
  </si>
  <si>
    <t>Creates, updates and resolves ServiceNow incidents.</t>
  </si>
  <si>
    <t>Posts failure and status alerts to the right Teams channel.</t>
  </si>
  <si>
    <t>Incident system and collaboration system stay aligned.</t>
  </si>
  <si>
    <t>Create/Update/Resolve + Detect/Notify</t>
  </si>
  <si>
    <t>Prevents engineers from working only from AWS Console.</t>
  </si>
  <si>
    <t>Noise reduction</t>
  </si>
  <si>
    <t>Suppresses duplicate incident paths from Glue/child/parent failures.</t>
  </si>
  <si>
    <t>Publishes meaningful failure/status alerts instead of noisy raw events.</t>
  </si>
  <si>
    <t>Reduces alert fatigue and duplicate work.</t>
  </si>
  <si>
    <t>3 signals → 1 context</t>
  </si>
  <si>
    <t>Cleaner response workflow.</t>
  </si>
  <si>
    <t>External resilience</t>
  </si>
  <si>
    <t>Retries SNOW API failures and reuses OAuth token.</t>
  </si>
  <si>
    <t>Retries Teams webhook failures and avoids failing Lambda on webhook outage.</t>
  </si>
  <si>
    <t>Both protect the monitoring workflow from external dependency instability.</t>
  </si>
  <si>
    <t>Retry-enabled integrations</t>
  </si>
  <si>
    <t>Production-grade failure handling.</t>
  </si>
  <si>
    <t>Annual effort reduced</t>
  </si>
  <si>
    <t>~2,000 hrs/year</t>
  </si>
  <si>
    <t>Both reduce investigation/debugging toil from different endpoints: ticketing and collaboration.</t>
  </si>
  <si>
    <t>~4,000 hrs/year combined</t>
  </si>
  <si>
    <t>Teams alerting now reflects equivalent debugging effort saved.</t>
  </si>
  <si>
    <t>Microsoft Teams Alerting Lambda - Technical Stats</t>
  </si>
  <si>
    <t>Capability</t>
  </si>
  <si>
    <t>Technical Detail</t>
  </si>
  <si>
    <t>Before</t>
  </si>
  <si>
    <t>After</t>
  </si>
  <si>
    <t>Measured / Estimated Impact</t>
  </si>
  <si>
    <t>Event types</t>
  </si>
  <si>
    <t>Handles failure events and pipeline status notifications.</t>
  </si>
  <si>
    <t>Engineers had to manually check AWS console/status.</t>
  </si>
  <si>
    <t>Teams receives structured operational updates.</t>
  </si>
  <si>
    <t>Near real-time alerts.</t>
  </si>
  <si>
    <t>Keeps support team informed without console dependency.</t>
  </si>
  <si>
    <t>Adaptive Cards</t>
  </si>
  <si>
    <t>Posts formatted cards with pipeline, job, status, duration, root cause and CloudWatch link.</t>
  </si>
  <si>
    <t>Manual text updates or fragmented messages.</t>
  </si>
  <si>
    <t>Consistent, actionable cards.</t>
  </si>
  <si>
    <t>Debug context available in one place.</t>
  </si>
  <si>
    <t>Improves triage consistency.</t>
  </si>
  <si>
    <t>Failure diagnostics</t>
  </si>
  <si>
    <t>Uses the same enriched error summary produced by the failure engine.</t>
  </si>
  <si>
    <t>Engineer searched CloudWatch manually.</t>
  </si>
  <si>
    <t>Root cause appears in the Teams card.</t>
  </si>
  <si>
    <t>~2,000 hrs/year debugging effort reduced.</t>
  </si>
  <si>
    <t>Teams now saves investigation effort comparable to ServiceNow.</t>
  </si>
  <si>
    <t>CloudWatch deep links</t>
  </si>
  <si>
    <t>Adds direct links to logs when available.</t>
  </si>
  <si>
    <t>Engineers navigated log groups manually.</t>
  </si>
  <si>
    <t>One-click path to evidence.</t>
  </si>
  <si>
    <t>Reduced lookup time per incident.</t>
  </si>
  <si>
    <t>Accelerates root cause validation.</t>
  </si>
  <si>
    <t>Pipeline status tracking</t>
  </si>
  <si>
    <t>Posts STARTED and COMPLETED events for EDW/FSDW parent workflows and relevant children.</t>
  </si>
  <si>
    <t>Status had to be checked manually.</t>
  </si>
  <si>
    <t>Visible run state and duration.</t>
  </si>
  <si>
    <t>Reduced monitoring effort.</t>
  </si>
  <si>
    <t>Improves operational transparency.</t>
  </si>
  <si>
    <t>Webhook resilience</t>
  </si>
  <si>
    <t>Bounded timeout + retry for Teams webhook calls.</t>
  </si>
  <si>
    <t>Webhook issue could silently block visibility.</t>
  </si>
  <si>
    <t>Retry attempts protect delivery.</t>
  </si>
  <si>
    <t>Reduced missed alerts.</t>
  </si>
  <si>
    <t>Prevents external integration instability from hiding failures.</t>
  </si>
  <si>
    <t>Noise control</t>
  </si>
  <si>
    <t>Filters to genuine failure/status events and avoids unnecessary spam.</t>
  </si>
  <si>
    <t>Raw events could be noisy or duplicated.</t>
  </si>
  <si>
    <t>Meaningful alerts only.</t>
  </si>
  <si>
    <t>Reduced alert fatigue.</t>
  </si>
  <si>
    <t>Improves trust in automation.</t>
  </si>
  <si>
    <t>Estimated same as ServiceNow because Teams carries the debugging context and reduces manual investigation.</t>
  </si>
  <si>
    <t>Manual triage + log lookup + handoff.</t>
  </si>
  <si>
    <t>Direct action from Teams alert.</t>
  </si>
  <si>
    <t>~2,000 hrs/year.</t>
  </si>
  <si>
    <t>Captures debugging hours saved, not only notification effort.</t>
  </si>
  <si>
    <t>Manual Effort Reduction Model</t>
  </si>
  <si>
    <t>Automation</t>
  </si>
  <si>
    <t>Primary Manual Work Removed</t>
  </si>
  <si>
    <t>Incidents / Checks per Day</t>
  </si>
  <si>
    <t>Minutes Saved Each</t>
  </si>
  <si>
    <t>Working Days / Year</t>
  </si>
  <si>
    <t>Annual Hours Saved</t>
  </si>
  <si>
    <t>Notes</t>
  </si>
  <si>
    <t>Incident create/update/resolve + parent mapping + root cause evidence</t>
  </si>
  <si>
    <t>Includes manual incident lifecycle and debugging context captured in SNOW.</t>
  </si>
  <si>
    <t>Debugging, CloudWatch lookup, triage handoff and status communication</t>
  </si>
  <si>
    <t>Aligned with ServiceNow because Teams alert carries the same debugging evidence and reduces the same investigation effort.</t>
  </si>
  <si>
    <t>Manual report delay checks and stakeholder notification</t>
  </si>
  <si>
    <t>Scheduled delay checks plus daily deduped business notification.</t>
  </si>
  <si>
    <t>Combined estimated support/engineering effort reduced</t>
  </si>
  <si>
    <t>Use as a planning estimate; actual values can be validated from production incident volumes.</t>
  </si>
  <si>
    <t>~2,625 hrs/year</t>
  </si>
  <si>
    <t>ServiceNow ~833 + Teams ~1667 + Alliance ~125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</si>
</sst>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hrs&quot;"/>
  </numFmts>
  <fonts count="11">
    <font>
      <sz val="11"/>
      <name val="Carlito"/>
    </font>
    <font>
      <b/>
      <sz val="18"/>
      <color rgb="FFFFFFFF"/>
      <name val="Carlito"/>
    </font>
    <font>
      <sz val="11"/>
      <color rgb="FFCBD5E1"/>
      <name val="Carlito"/>
    </font>
    <font>
      <b/>
      <sz val="11"/>
      <color rgb="FFFFFFFF"/>
      <name val="Carlito"/>
    </font>
    <font>
      <sz val="10"/>
      <color rgb="FFFFFFFF"/>
      <name val="Carlito"/>
    </font>
    <font>
      <b/>
      <sz val="11"/>
      <color rgb="FFBFDBFE"/>
      <name val="Carlito"/>
    </font>
    <font>
      <b/>
      <sz val="11"/>
      <color rgb="FFBBF7D0"/>
      <name val="Carlito"/>
    </font>
    <font>
      <b/>
      <sz val="16"/>
      <color rgb="FFFFFFFF"/>
      <name val="Carlito"/>
    </font>
    <font>
      <sz val="10"/>
      <color rgb="FFE2E8F0"/>
      <name val="Carlito"/>
    </font>
    <font>
      <sz val="10"/>
      <color rgb="FFDBEAFE"/>
      <name val="Carlito"/>
    </font>
    <font>
      <b/>
      <sz val="10"/>
      <color rgb="FFD1FAE5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11827"/>
      </patternFill>
    </fill>
    <fill>
      <patternFill patternType="solid">
        <fgColor rgb="FF0F172A"/>
      </patternFill>
    </fill>
    <fill>
      <patternFill patternType="solid">
        <fgColor rgb="FF172554"/>
      </patternFill>
    </fill>
    <fill>
      <patternFill patternType="solid">
        <fgColor rgb="FF14532D"/>
      </patternFill>
    </fill>
    <fill>
      <patternFill patternType="solid">
        <fgColor rgb="FF064E3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64" fontId="6" fillId="6" borderId="5" xfId="0" applyNumberFormat="1" applyFont="1" applyFill="1" applyBorder="1" applyAlignment="1">
      <alignment horizontal="center" vertical="center" wrapText="1"/>
    </xf>
    <xf numFmtId="164" fontId="6" fillId="6" borderId="8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10" fillId="7" borderId="5" xfId="0" applyFont="1" applyFill="1" applyBorder="1" applyAlignment="1">
      <alignment vertical="top" wrapText="1"/>
    </xf>
    <xf numFmtId="0" fontId="10" fillId="7" borderId="8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KpiTable" displayName="DashboardKpiTable" ref="A4:D12">
  <tableColumns count="4">
    <tableColumn id="1" xr3:uid="{00000000-0010-0000-0000-000001000000}" name="Metric"/>
    <tableColumn id="2" xr3:uid="{00000000-0010-0000-0000-000002000000}" name="Technical Stat"/>
    <tableColumn id="3" xr3:uid="{00000000-0010-0000-0000-000003000000}" name="Why It Matters"/>
    <tableColumn id="4" xr3:uid="{00000000-0010-0000-0000-000004000000}" name="Evidence / 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actSummaryTable" displayName="ImpactSummaryTable" ref="A15:D19">
  <tableColumns count="4">
    <tableColumn id="1" xr3:uid="{00000000-0010-0000-0100-000001000000}" name="Automation Area"/>
    <tableColumn id="2" xr3:uid="{00000000-0010-0000-0100-000002000000}" name="Primary Technical Capability"/>
    <tableColumn id="3" xr3:uid="{00000000-0010-0000-0100-000003000000}" name="Estimated Hours Reduced / Year"/>
    <tableColumn id="4" xr3:uid="{00000000-0010-0000-0100-000004000000}" name="Technical Impa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chStatsMatrixTable" displayName="TechStatsMatrixTable" ref="A3:G13">
  <tableColumns count="7">
    <tableColumn id="1" xr3:uid="{00000000-0010-0000-0200-000001000000}" name="Technical Area"/>
    <tableColumn id="2" xr3:uid="{00000000-0010-0000-0200-000002000000}" name="Before Automation"/>
    <tableColumn id="3" xr3:uid="{00000000-0010-0000-0200-000003000000}" name="Implemented Capability"/>
    <tableColumn id="4" xr3:uid="{00000000-0010-0000-0200-000004000000}" name="ServiceNow"/>
    <tableColumn id="5" xr3:uid="{00000000-0010-0000-0200-000005000000}" name="Teams Alerting"/>
    <tableColumn id="6" xr3:uid="{00000000-0010-0000-0200-000006000000}" name="Alliance Delay"/>
    <tableColumn id="7" xr3:uid="{00000000-0010-0000-0200-000007000000}" name="Measurable Technical Outco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nowTeamsDetailsTable" displayName="SnowTeamsDetailsTable" ref="A3:F10">
  <tableColumns count="6">
    <tableColumn id="1" xr3:uid="{00000000-0010-0000-0300-000001000000}" name="Layer"/>
    <tableColumn id="2" xr3:uid="{00000000-0010-0000-0300-000002000000}" name="ServiceNow Incident Automation"/>
    <tableColumn id="3" xr3:uid="{00000000-0010-0000-0300-000003000000}" name="Microsoft Teams Alerting Automation"/>
    <tableColumn id="4" xr3:uid="{00000000-0010-0000-0300-000004000000}" name="Shared Technical Value"/>
    <tableColumn id="5" xr3:uid="{00000000-0010-0000-0300-000005000000}" name="Impact Metric"/>
    <tableColumn id="6" xr3:uid="{00000000-0010-0000-0300-000006000000}" name="Manager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amsAlertingTable" displayName="TeamsAlertingTable" ref="A3:F11">
  <tableColumns count="6">
    <tableColumn id="1" xr3:uid="{00000000-0010-0000-0400-000001000000}" name="Capability"/>
    <tableColumn id="2" xr3:uid="{00000000-0010-0000-0400-000002000000}" name="Technical Detail"/>
    <tableColumn id="3" xr3:uid="{00000000-0010-0000-0400-000003000000}" name="Before"/>
    <tableColumn id="4" xr3:uid="{00000000-0010-0000-0400-000004000000}" name="After"/>
    <tableColumn id="5" xr3:uid="{00000000-0010-0000-0400-000005000000}" name="Measured / Estimated Impact"/>
    <tableColumn id="6" xr3:uid="{00000000-0010-0000-0400-000006000000}" name="Why It Matt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ffortModelTable" displayName="EffortModelTable" ref="A3:G7">
  <tableColumns count="7">
    <tableColumn id="1" xr3:uid="{00000000-0010-0000-0500-000001000000}" name="Automation"/>
    <tableColumn id="2" xr3:uid="{00000000-0010-0000-0500-000002000000}" name="Primary Manual Work Removed"/>
    <tableColumn id="3" xr3:uid="{00000000-0010-0000-0500-000003000000}" name="Incidents / Checks per Day"/>
    <tableColumn id="4" xr3:uid="{00000000-0010-0000-0500-000004000000}" name="Minutes Saved Each"/>
    <tableColumn id="5" xr3:uid="{00000000-0010-0000-0500-000005000000}" name="Working Days / Year"/>
    <tableColumn id="6" xr3:uid="{00000000-0010-0000-0500-000006000000}" name="Annual Hours Saved"/>
    <tableColumn id="7" xr3:uid="{00000000-0010-0000-05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C8" sqref="C8"/>
    </sheetView>
  </sheetViews>
  <sheetFormatPr defaultRowHeight="14"/>
  <cols>
    <col min="1" max="1" width="24" customWidth="1"/>
    <col min="2" max="2" width="22" customWidth="1"/>
    <col min="3" max="3" width="42" customWidth="1"/>
    <col min="4" max="4" width="38" customWidth="1"/>
  </cols>
  <sheetData>
    <row r="1" spans="1:8">
      <c r="A1" s="24" t="s">
        <v>0</v>
      </c>
      <c r="B1" s="25"/>
      <c r="C1" s="25"/>
      <c r="D1" s="25"/>
      <c r="E1" s="25"/>
      <c r="F1" s="25"/>
      <c r="G1" s="25"/>
      <c r="H1" s="25"/>
    </row>
    <row r="2" spans="1:8">
      <c r="A2" s="26" t="s">
        <v>1</v>
      </c>
      <c r="B2" s="25"/>
      <c r="C2" s="25"/>
      <c r="D2" s="25"/>
      <c r="E2" s="25"/>
      <c r="F2" s="25"/>
      <c r="G2" s="25"/>
      <c r="H2" s="25"/>
    </row>
    <row r="3" spans="1:8">
      <c r="A3" s="23"/>
      <c r="B3" s="23"/>
      <c r="C3" s="23"/>
      <c r="D3" s="23"/>
      <c r="E3" s="23"/>
      <c r="F3" s="23"/>
      <c r="G3" s="23"/>
      <c r="H3" s="23"/>
    </row>
    <row r="4" spans="1:8">
      <c r="A4" s="1" t="s">
        <v>2</v>
      </c>
      <c r="B4" s="2" t="s">
        <v>3</v>
      </c>
      <c r="C4" s="2" t="s">
        <v>4</v>
      </c>
      <c r="D4" s="3" t="s">
        <v>5</v>
      </c>
      <c r="E4" s="23"/>
      <c r="F4" s="23"/>
      <c r="G4" s="23"/>
      <c r="H4" s="23"/>
    </row>
    <row r="5" spans="1:8" ht="37.5">
      <c r="A5" s="4" t="s">
        <v>6</v>
      </c>
      <c r="B5" s="13" t="s">
        <v>208</v>
      </c>
      <c r="C5" s="5" t="s">
        <v>7</v>
      </c>
      <c r="D5" s="6" t="s">
        <v>209</v>
      </c>
      <c r="E5" s="23"/>
      <c r="F5" s="23"/>
      <c r="G5" s="23"/>
      <c r="H5" s="23"/>
    </row>
    <row r="6" spans="1:8" ht="25">
      <c r="A6" s="7" t="s">
        <v>8</v>
      </c>
      <c r="B6" s="14" t="s">
        <v>9</v>
      </c>
      <c r="C6" s="8" t="s">
        <v>10</v>
      </c>
      <c r="D6" s="9" t="s">
        <v>11</v>
      </c>
      <c r="E6" s="23"/>
      <c r="F6" s="23"/>
      <c r="G6" s="23"/>
      <c r="H6" s="23"/>
    </row>
    <row r="7" spans="1:8" ht="37.5">
      <c r="A7" s="7" t="s">
        <v>12</v>
      </c>
      <c r="B7" s="14" t="s">
        <v>13</v>
      </c>
      <c r="C7" s="8" t="s">
        <v>14</v>
      </c>
      <c r="D7" s="9" t="s">
        <v>15</v>
      </c>
      <c r="E7" s="23"/>
      <c r="F7" s="23"/>
      <c r="G7" s="23"/>
      <c r="H7" s="23"/>
    </row>
    <row r="8" spans="1:8" ht="28">
      <c r="A8" s="7" t="s">
        <v>16</v>
      </c>
      <c r="B8" s="14" t="s">
        <v>17</v>
      </c>
      <c r="C8" s="8" t="s">
        <v>18</v>
      </c>
      <c r="D8" s="9" t="s">
        <v>19</v>
      </c>
      <c r="E8" s="23"/>
      <c r="F8" s="23"/>
      <c r="G8" s="23"/>
      <c r="H8" s="23"/>
    </row>
    <row r="9" spans="1:8" ht="37.5">
      <c r="A9" s="7" t="s">
        <v>20</v>
      </c>
      <c r="B9" s="14" t="s">
        <v>21</v>
      </c>
      <c r="C9" s="8" t="s">
        <v>22</v>
      </c>
      <c r="D9" s="9" t="s">
        <v>23</v>
      </c>
      <c r="E9" s="23"/>
      <c r="F9" s="23"/>
      <c r="G9" s="23"/>
      <c r="H9" s="23"/>
    </row>
    <row r="10" spans="1:8" ht="25">
      <c r="A10" s="7" t="s">
        <v>24</v>
      </c>
      <c r="B10" s="14" t="s">
        <v>25</v>
      </c>
      <c r="C10" s="8" t="s">
        <v>26</v>
      </c>
      <c r="D10" s="9" t="s">
        <v>27</v>
      </c>
      <c r="E10" s="23"/>
      <c r="F10" s="23"/>
      <c r="G10" s="23"/>
      <c r="H10" s="23"/>
    </row>
    <row r="11" spans="1:8" ht="25">
      <c r="A11" s="7" t="s">
        <v>28</v>
      </c>
      <c r="B11" s="14" t="s">
        <v>29</v>
      </c>
      <c r="C11" s="8" t="s">
        <v>30</v>
      </c>
      <c r="D11" s="9" t="s">
        <v>31</v>
      </c>
      <c r="E11" s="23"/>
      <c r="F11" s="23"/>
      <c r="G11" s="23"/>
      <c r="H11" s="23"/>
    </row>
    <row r="12" spans="1:8">
      <c r="A12" s="10"/>
      <c r="B12" s="14"/>
      <c r="C12" s="11"/>
      <c r="D12" s="12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 ht="28">
      <c r="A15" s="1" t="s">
        <v>32</v>
      </c>
      <c r="B15" s="2" t="s">
        <v>33</v>
      </c>
      <c r="C15" s="2" t="s">
        <v>34</v>
      </c>
      <c r="D15" s="3" t="s">
        <v>35</v>
      </c>
      <c r="E15" s="23"/>
      <c r="F15" s="23"/>
      <c r="G15" s="23"/>
      <c r="H15" s="23"/>
    </row>
    <row r="16" spans="1:8" ht="25">
      <c r="A16" s="4" t="s">
        <v>36</v>
      </c>
      <c r="B16" s="5" t="s">
        <v>37</v>
      </c>
      <c r="C16" s="15">
        <v>833</v>
      </c>
      <c r="D16" s="6" t="s">
        <v>38</v>
      </c>
      <c r="E16" s="23"/>
      <c r="F16" s="23"/>
      <c r="G16" s="23"/>
      <c r="H16" s="23"/>
    </row>
    <row r="17" spans="1:8" ht="37.5">
      <c r="A17" s="7" t="s">
        <v>39</v>
      </c>
      <c r="B17" s="8" t="s">
        <v>40</v>
      </c>
      <c r="C17" s="16">
        <v>1667</v>
      </c>
      <c r="D17" s="9" t="s">
        <v>41</v>
      </c>
      <c r="E17" s="23"/>
      <c r="F17" s="23"/>
      <c r="G17" s="23"/>
      <c r="H17" s="23"/>
    </row>
    <row r="18" spans="1:8" ht="25">
      <c r="A18" s="7" t="s">
        <v>42</v>
      </c>
      <c r="B18" s="8" t="s">
        <v>43</v>
      </c>
      <c r="C18" s="16">
        <v>125</v>
      </c>
      <c r="D18" s="9" t="s">
        <v>44</v>
      </c>
      <c r="E18" s="23"/>
      <c r="F18" s="23"/>
      <c r="G18" s="23"/>
      <c r="H18" s="23"/>
    </row>
    <row r="19" spans="1:8" ht="25">
      <c r="A19" s="10" t="s">
        <v>45</v>
      </c>
      <c r="B19" s="11" t="s">
        <v>46</v>
      </c>
      <c r="C19" s="16">
        <f>SUM(C16:C18)</f>
        <v>2625</v>
      </c>
      <c r="D19" s="12" t="s">
        <v>47</v>
      </c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23"/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23"/>
      <c r="B30" s="23"/>
      <c r="C30" s="23"/>
      <c r="D30" s="23"/>
      <c r="E30" s="23"/>
      <c r="F30" s="23"/>
      <c r="G30" s="23"/>
      <c r="H30" s="2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/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4" spans="1:8">
      <c r="A34" s="23"/>
      <c r="B34" s="23"/>
      <c r="C34" s="23"/>
      <c r="D34" s="23"/>
      <c r="E34" s="23"/>
      <c r="F34" s="23"/>
      <c r="G34" s="23"/>
      <c r="H34" s="23"/>
    </row>
    <row r="35" spans="1:8">
      <c r="A35" s="23"/>
      <c r="B35" s="23"/>
      <c r="C35" s="23"/>
      <c r="D35" s="23"/>
      <c r="E35" s="23"/>
      <c r="F35" s="23"/>
      <c r="G35" s="23"/>
      <c r="H35" s="23"/>
    </row>
    <row r="36" spans="1:8">
      <c r="A36" s="23"/>
      <c r="B36" s="23"/>
      <c r="C36" s="23"/>
      <c r="D36" s="23"/>
      <c r="E36" s="23"/>
      <c r="F36" s="23"/>
      <c r="G36" s="23"/>
      <c r="H36" s="23"/>
    </row>
    <row r="37" spans="1:8">
      <c r="A37" s="23"/>
      <c r="B37" s="23"/>
      <c r="C37" s="23"/>
      <c r="D37" s="23"/>
      <c r="E37" s="23"/>
      <c r="F37" s="23"/>
      <c r="G37" s="23"/>
      <c r="H37" s="23"/>
    </row>
    <row r="38" spans="1:8">
      <c r="A38" s="23"/>
      <c r="B38" s="23"/>
      <c r="C38" s="23"/>
      <c r="D38" s="23"/>
      <c r="E38" s="23"/>
      <c r="F38" s="23"/>
      <c r="G38" s="23"/>
      <c r="H38" s="23"/>
    </row>
    <row r="39" spans="1:8">
      <c r="A39" s="23"/>
      <c r="B39" s="23"/>
      <c r="C39" s="23"/>
      <c r="D39" s="23"/>
      <c r="E39" s="23"/>
      <c r="F39" s="23"/>
      <c r="G39" s="23"/>
      <c r="H39" s="23"/>
    </row>
    <row r="40" spans="1:8">
      <c r="A40" s="23"/>
      <c r="B40" s="23"/>
      <c r="C40" s="23"/>
      <c r="D40" s="23"/>
      <c r="E40" s="23"/>
      <c r="F40" s="23"/>
      <c r="G40" s="23"/>
      <c r="H40" s="23"/>
    </row>
    <row r="41" spans="1:8">
      <c r="A41" s="23"/>
      <c r="B41" s="23"/>
      <c r="C41" s="23"/>
      <c r="D41" s="23"/>
      <c r="E41" s="23"/>
      <c r="F41" s="23"/>
      <c r="G41" s="23"/>
      <c r="H41" s="23"/>
    </row>
    <row r="42" spans="1:8">
      <c r="A42" s="23"/>
      <c r="B42" s="23"/>
      <c r="C42" s="23"/>
      <c r="D42" s="23"/>
      <c r="E42" s="23"/>
      <c r="F42" s="23"/>
      <c r="G42" s="23"/>
      <c r="H42" s="23"/>
    </row>
    <row r="43" spans="1:8">
      <c r="A43" s="23"/>
      <c r="B43" s="23"/>
      <c r="C43" s="23"/>
      <c r="D43" s="23"/>
      <c r="E43" s="23"/>
      <c r="F43" s="23"/>
      <c r="G43" s="23"/>
      <c r="H43" s="23"/>
    </row>
    <row r="44" spans="1:8">
      <c r="A44" s="23"/>
      <c r="B44" s="23"/>
      <c r="C44" s="23"/>
      <c r="D44" s="23"/>
      <c r="E44" s="23"/>
      <c r="F44" s="23"/>
      <c r="G44" s="23"/>
      <c r="H44" s="23"/>
    </row>
    <row r="45" spans="1:8">
      <c r="A45" s="23"/>
      <c r="B45" s="23"/>
      <c r="C45" s="23"/>
      <c r="D45" s="23"/>
      <c r="E45" s="23"/>
      <c r="F45" s="23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8">
      <c r="A49" s="23"/>
      <c r="B49" s="23"/>
      <c r="C49" s="23"/>
      <c r="D49" s="23"/>
      <c r="E49" s="23"/>
      <c r="F49" s="23"/>
      <c r="G49" s="23"/>
      <c r="H49" s="23"/>
    </row>
    <row r="50" spans="1:8">
      <c r="A50" s="23"/>
      <c r="B50" s="23"/>
      <c r="C50" s="23"/>
      <c r="D50" s="23"/>
      <c r="E50" s="23"/>
      <c r="F50" s="23"/>
      <c r="G50" s="23"/>
      <c r="H50" s="23"/>
    </row>
  </sheetData>
  <mergeCells count="2">
    <mergeCell ref="A1:H1"/>
    <mergeCell ref="A2:H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sqref="A1:G1"/>
    </sheetView>
  </sheetViews>
  <sheetFormatPr defaultRowHeight="14"/>
  <cols>
    <col min="1" max="1" width="26" customWidth="1"/>
    <col min="2" max="2" width="34" customWidth="1"/>
    <col min="3" max="3" width="38" customWidth="1"/>
    <col min="4" max="4" width="14" customWidth="1"/>
    <col min="5" max="6" width="16" customWidth="1"/>
    <col min="7" max="7" width="36" customWidth="1"/>
  </cols>
  <sheetData>
    <row r="1" spans="1:8" ht="15">
      <c r="A1" s="27" t="s">
        <v>48</v>
      </c>
      <c r="B1" s="25"/>
      <c r="C1" s="25"/>
      <c r="D1" s="25"/>
      <c r="E1" s="25"/>
      <c r="F1" s="25"/>
      <c r="G1" s="25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1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3" t="s">
        <v>55</v>
      </c>
      <c r="H3" s="23"/>
    </row>
    <row r="4" spans="1:8" ht="25">
      <c r="A4" s="4" t="s">
        <v>56</v>
      </c>
      <c r="B4" s="5" t="s">
        <v>57</v>
      </c>
      <c r="C4" s="5" t="s">
        <v>58</v>
      </c>
      <c r="D4" s="17" t="s">
        <v>59</v>
      </c>
      <c r="E4" s="17" t="s">
        <v>59</v>
      </c>
      <c r="F4" s="17" t="s">
        <v>60</v>
      </c>
      <c r="G4" s="6" t="s">
        <v>61</v>
      </c>
      <c r="H4" s="23"/>
    </row>
    <row r="5" spans="1:8" ht="25">
      <c r="A5" s="7" t="s">
        <v>62</v>
      </c>
      <c r="B5" s="8" t="s">
        <v>63</v>
      </c>
      <c r="C5" s="8" t="s">
        <v>64</v>
      </c>
      <c r="D5" s="18" t="s">
        <v>59</v>
      </c>
      <c r="E5" s="18" t="s">
        <v>59</v>
      </c>
      <c r="F5" s="18" t="s">
        <v>65</v>
      </c>
      <c r="G5" s="9" t="s">
        <v>66</v>
      </c>
      <c r="H5" s="23"/>
    </row>
    <row r="6" spans="1:8" ht="25">
      <c r="A6" s="7" t="s">
        <v>67</v>
      </c>
      <c r="B6" s="8" t="s">
        <v>68</v>
      </c>
      <c r="C6" s="8" t="s">
        <v>69</v>
      </c>
      <c r="D6" s="18" t="s">
        <v>59</v>
      </c>
      <c r="E6" s="18" t="s">
        <v>59</v>
      </c>
      <c r="F6" s="18" t="s">
        <v>65</v>
      </c>
      <c r="G6" s="9" t="s">
        <v>70</v>
      </c>
      <c r="H6" s="23"/>
    </row>
    <row r="7" spans="1:8" ht="25">
      <c r="A7" s="7" t="s">
        <v>71</v>
      </c>
      <c r="B7" s="8" t="s">
        <v>72</v>
      </c>
      <c r="C7" s="8" t="s">
        <v>73</v>
      </c>
      <c r="D7" s="18" t="s">
        <v>59</v>
      </c>
      <c r="E7" s="18" t="s">
        <v>59</v>
      </c>
      <c r="F7" s="18" t="s">
        <v>59</v>
      </c>
      <c r="G7" s="9" t="s">
        <v>74</v>
      </c>
      <c r="H7" s="23"/>
    </row>
    <row r="8" spans="1:8" ht="25">
      <c r="A8" s="7" t="s">
        <v>75</v>
      </c>
      <c r="B8" s="8" t="s">
        <v>76</v>
      </c>
      <c r="C8" s="8" t="s">
        <v>77</v>
      </c>
      <c r="D8" s="18" t="s">
        <v>59</v>
      </c>
      <c r="E8" s="18" t="s">
        <v>65</v>
      </c>
      <c r="F8" s="18" t="s">
        <v>65</v>
      </c>
      <c r="G8" s="9" t="s">
        <v>78</v>
      </c>
      <c r="H8" s="23"/>
    </row>
    <row r="9" spans="1:8" ht="25">
      <c r="A9" s="7" t="s">
        <v>79</v>
      </c>
      <c r="B9" s="8" t="s">
        <v>80</v>
      </c>
      <c r="C9" s="8" t="s">
        <v>81</v>
      </c>
      <c r="D9" s="18" t="s">
        <v>65</v>
      </c>
      <c r="E9" s="18" t="s">
        <v>59</v>
      </c>
      <c r="F9" s="18" t="s">
        <v>65</v>
      </c>
      <c r="G9" s="9" t="s">
        <v>82</v>
      </c>
      <c r="H9" s="23"/>
    </row>
    <row r="10" spans="1:8" ht="25">
      <c r="A10" s="7" t="s">
        <v>83</v>
      </c>
      <c r="B10" s="8" t="s">
        <v>84</v>
      </c>
      <c r="C10" s="8" t="s">
        <v>85</v>
      </c>
      <c r="D10" s="18" t="s">
        <v>59</v>
      </c>
      <c r="E10" s="18" t="s">
        <v>59</v>
      </c>
      <c r="F10" s="18" t="s">
        <v>59</v>
      </c>
      <c r="G10" s="9" t="s">
        <v>86</v>
      </c>
      <c r="H10" s="23"/>
    </row>
    <row r="11" spans="1:8" ht="25">
      <c r="A11" s="7" t="s">
        <v>87</v>
      </c>
      <c r="B11" s="8" t="s">
        <v>88</v>
      </c>
      <c r="C11" s="8" t="s">
        <v>89</v>
      </c>
      <c r="D11" s="18" t="s">
        <v>59</v>
      </c>
      <c r="E11" s="18" t="s">
        <v>65</v>
      </c>
      <c r="F11" s="18" t="s">
        <v>65</v>
      </c>
      <c r="G11" s="9" t="s">
        <v>90</v>
      </c>
      <c r="H11" s="23"/>
    </row>
    <row r="12" spans="1:8" ht="25">
      <c r="A12" s="7" t="s">
        <v>91</v>
      </c>
      <c r="B12" s="8" t="s">
        <v>92</v>
      </c>
      <c r="C12" s="8" t="s">
        <v>93</v>
      </c>
      <c r="D12" s="18" t="s">
        <v>59</v>
      </c>
      <c r="E12" s="18" t="s">
        <v>60</v>
      </c>
      <c r="F12" s="18" t="s">
        <v>59</v>
      </c>
      <c r="G12" s="9" t="s">
        <v>94</v>
      </c>
      <c r="H12" s="23"/>
    </row>
    <row r="13" spans="1:8" ht="25">
      <c r="A13" s="10" t="s">
        <v>95</v>
      </c>
      <c r="B13" s="11" t="s">
        <v>96</v>
      </c>
      <c r="C13" s="11" t="s">
        <v>97</v>
      </c>
      <c r="D13" s="18" t="s">
        <v>65</v>
      </c>
      <c r="E13" s="18" t="s">
        <v>65</v>
      </c>
      <c r="F13" s="18" t="s">
        <v>59</v>
      </c>
      <c r="G13" s="12" t="s">
        <v>98</v>
      </c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23"/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23"/>
      <c r="B30" s="23"/>
      <c r="C30" s="23"/>
      <c r="D30" s="23"/>
      <c r="E30" s="23"/>
      <c r="F30" s="23"/>
      <c r="G30" s="23"/>
      <c r="H30" s="2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/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4" spans="1:8">
      <c r="A34" s="23"/>
      <c r="B34" s="23"/>
      <c r="C34" s="23"/>
      <c r="D34" s="23"/>
      <c r="E34" s="23"/>
      <c r="F34" s="23"/>
      <c r="G34" s="23"/>
      <c r="H34" s="23"/>
    </row>
    <row r="35" spans="1:8">
      <c r="A35" s="23"/>
      <c r="B35" s="23"/>
      <c r="C35" s="23"/>
      <c r="D35" s="23"/>
      <c r="E35" s="23"/>
      <c r="F35" s="23"/>
      <c r="G35" s="23"/>
      <c r="H35" s="23"/>
    </row>
    <row r="36" spans="1:8">
      <c r="A36" s="23"/>
      <c r="B36" s="23"/>
      <c r="C36" s="23"/>
      <c r="D36" s="23"/>
      <c r="E36" s="23"/>
      <c r="F36" s="23"/>
      <c r="G36" s="23"/>
      <c r="H36" s="23"/>
    </row>
    <row r="37" spans="1:8">
      <c r="A37" s="23"/>
      <c r="B37" s="23"/>
      <c r="C37" s="23"/>
      <c r="D37" s="23"/>
      <c r="E37" s="23"/>
      <c r="F37" s="23"/>
      <c r="G37" s="23"/>
      <c r="H37" s="23"/>
    </row>
    <row r="38" spans="1:8">
      <c r="A38" s="23"/>
      <c r="B38" s="23"/>
      <c r="C38" s="23"/>
      <c r="D38" s="23"/>
      <c r="E38" s="23"/>
      <c r="F38" s="23"/>
      <c r="G38" s="23"/>
      <c r="H38" s="23"/>
    </row>
    <row r="39" spans="1:8">
      <c r="A39" s="23"/>
      <c r="B39" s="23"/>
      <c r="C39" s="23"/>
      <c r="D39" s="23"/>
      <c r="E39" s="23"/>
      <c r="F39" s="23"/>
      <c r="G39" s="23"/>
      <c r="H39" s="23"/>
    </row>
    <row r="40" spans="1:8">
      <c r="A40" s="23"/>
      <c r="B40" s="23"/>
      <c r="C40" s="23"/>
      <c r="D40" s="23"/>
      <c r="E40" s="23"/>
      <c r="F40" s="23"/>
      <c r="G40" s="23"/>
      <c r="H40" s="23"/>
    </row>
    <row r="41" spans="1:8">
      <c r="A41" s="23"/>
      <c r="B41" s="23"/>
      <c r="C41" s="23"/>
      <c r="D41" s="23"/>
      <c r="E41" s="23"/>
      <c r="F41" s="23"/>
      <c r="G41" s="23"/>
      <c r="H41" s="23"/>
    </row>
    <row r="42" spans="1:8">
      <c r="A42" s="23"/>
      <c r="B42" s="23"/>
      <c r="C42" s="23"/>
      <c r="D42" s="23"/>
      <c r="E42" s="23"/>
      <c r="F42" s="23"/>
      <c r="G42" s="23"/>
      <c r="H42" s="23"/>
    </row>
    <row r="43" spans="1:8">
      <c r="A43" s="23"/>
      <c r="B43" s="23"/>
      <c r="C43" s="23"/>
      <c r="D43" s="23"/>
      <c r="E43" s="23"/>
      <c r="F43" s="23"/>
      <c r="G43" s="23"/>
      <c r="H43" s="23"/>
    </row>
    <row r="44" spans="1:8">
      <c r="A44" s="23"/>
      <c r="B44" s="23"/>
      <c r="C44" s="23"/>
      <c r="D44" s="23"/>
      <c r="E44" s="23"/>
      <c r="F44" s="23"/>
      <c r="G44" s="23"/>
      <c r="H44" s="23"/>
    </row>
    <row r="45" spans="1:8">
      <c r="A45" s="23"/>
      <c r="B45" s="23"/>
      <c r="C45" s="23"/>
      <c r="D45" s="23"/>
      <c r="E45" s="23"/>
      <c r="F45" s="23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8">
      <c r="A49" s="23"/>
      <c r="B49" s="23"/>
      <c r="C49" s="23"/>
      <c r="D49" s="23"/>
      <c r="E49" s="23"/>
      <c r="F49" s="23"/>
      <c r="G49" s="23"/>
      <c r="H49" s="23"/>
    </row>
    <row r="50" spans="1:8">
      <c r="A50" s="23"/>
      <c r="B50" s="23"/>
      <c r="C50" s="23"/>
      <c r="D50" s="23"/>
      <c r="E50" s="23"/>
      <c r="F50" s="23"/>
      <c r="G50" s="23"/>
      <c r="H50" s="23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activeCell="D5" sqref="D5"/>
    </sheetView>
  </sheetViews>
  <sheetFormatPr defaultRowHeight="14"/>
  <cols>
    <col min="1" max="1" width="20" customWidth="1"/>
    <col min="2" max="4" width="34" customWidth="1"/>
    <col min="5" max="5" width="22" customWidth="1"/>
    <col min="6" max="6" width="34" customWidth="1"/>
  </cols>
  <sheetData>
    <row r="1" spans="1:8" ht="15">
      <c r="A1" s="27" t="s">
        <v>99</v>
      </c>
      <c r="B1" s="25"/>
      <c r="C1" s="25"/>
      <c r="D1" s="25"/>
      <c r="E1" s="25"/>
      <c r="F1" s="25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1" t="s">
        <v>100</v>
      </c>
      <c r="B3" s="2" t="s">
        <v>36</v>
      </c>
      <c r="C3" s="2" t="s">
        <v>39</v>
      </c>
      <c r="D3" s="2" t="s">
        <v>101</v>
      </c>
      <c r="E3" s="2" t="s">
        <v>102</v>
      </c>
      <c r="F3" s="3" t="s">
        <v>103</v>
      </c>
      <c r="G3" s="23"/>
      <c r="H3" s="23"/>
    </row>
    <row r="4" spans="1:8" ht="25">
      <c r="A4" s="4" t="s">
        <v>104</v>
      </c>
      <c r="B4" s="19" t="s">
        <v>105</v>
      </c>
      <c r="C4" s="19" t="s">
        <v>106</v>
      </c>
      <c r="D4" s="5" t="s">
        <v>107</v>
      </c>
      <c r="E4" s="5" t="s">
        <v>108</v>
      </c>
      <c r="F4" s="6" t="s">
        <v>109</v>
      </c>
      <c r="G4" s="23"/>
      <c r="H4" s="23"/>
    </row>
    <row r="5" spans="1:8" ht="37.5">
      <c r="A5" s="7" t="s">
        <v>110</v>
      </c>
      <c r="B5" s="20" t="s">
        <v>111</v>
      </c>
      <c r="C5" s="20" t="s">
        <v>112</v>
      </c>
      <c r="D5" s="8" t="s">
        <v>113</v>
      </c>
      <c r="E5" s="8" t="s">
        <v>114</v>
      </c>
      <c r="F5" s="9" t="s">
        <v>115</v>
      </c>
      <c r="G5" s="23"/>
      <c r="H5" s="23"/>
    </row>
    <row r="6" spans="1:8" ht="25">
      <c r="A6" s="7" t="s">
        <v>116</v>
      </c>
      <c r="B6" s="20" t="s">
        <v>117</v>
      </c>
      <c r="C6" s="20" t="s">
        <v>118</v>
      </c>
      <c r="D6" s="8" t="s">
        <v>119</v>
      </c>
      <c r="E6" s="8" t="s">
        <v>120</v>
      </c>
      <c r="F6" s="9" t="s">
        <v>121</v>
      </c>
      <c r="G6" s="23"/>
      <c r="H6" s="23"/>
    </row>
    <row r="7" spans="1:8" ht="25">
      <c r="A7" s="7" t="s">
        <v>122</v>
      </c>
      <c r="B7" s="20" t="s">
        <v>123</v>
      </c>
      <c r="C7" s="20" t="s">
        <v>124</v>
      </c>
      <c r="D7" s="8" t="s">
        <v>125</v>
      </c>
      <c r="E7" s="8" t="s">
        <v>126</v>
      </c>
      <c r="F7" s="9" t="s">
        <v>127</v>
      </c>
      <c r="G7" s="23"/>
      <c r="H7" s="23"/>
    </row>
    <row r="8" spans="1:8" ht="25">
      <c r="A8" s="7" t="s">
        <v>128</v>
      </c>
      <c r="B8" s="20" t="s">
        <v>129</v>
      </c>
      <c r="C8" s="20" t="s">
        <v>130</v>
      </c>
      <c r="D8" s="8" t="s">
        <v>131</v>
      </c>
      <c r="E8" s="8" t="s">
        <v>132</v>
      </c>
      <c r="F8" s="9" t="s">
        <v>133</v>
      </c>
      <c r="G8" s="23"/>
      <c r="H8" s="23"/>
    </row>
    <row r="9" spans="1:8" ht="37.5">
      <c r="A9" s="7" t="s">
        <v>134</v>
      </c>
      <c r="B9" s="20" t="s">
        <v>135</v>
      </c>
      <c r="C9" s="20" t="s">
        <v>135</v>
      </c>
      <c r="D9" s="8" t="s">
        <v>136</v>
      </c>
      <c r="E9" s="8" t="s">
        <v>137</v>
      </c>
      <c r="F9" s="9" t="s">
        <v>138</v>
      </c>
      <c r="G9" s="23"/>
      <c r="H9" s="23"/>
    </row>
    <row r="10" spans="1:8">
      <c r="A10" s="10"/>
      <c r="B10" s="20"/>
      <c r="C10" s="20"/>
      <c r="D10" s="11"/>
      <c r="E10" s="11"/>
      <c r="F10" s="12"/>
      <c r="G10" s="23"/>
      <c r="H10" s="23"/>
    </row>
    <row r="11" spans="1:8">
      <c r="A11" s="23"/>
      <c r="B11" s="23"/>
      <c r="C11" s="23"/>
      <c r="D11" s="23"/>
      <c r="E11" s="23"/>
      <c r="F11" s="23"/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23"/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23"/>
      <c r="B30" s="23"/>
      <c r="C30" s="23"/>
      <c r="D30" s="23"/>
      <c r="E30" s="23"/>
      <c r="F30" s="23"/>
      <c r="G30" s="23"/>
      <c r="H30" s="2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/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4" spans="1:8">
      <c r="A34" s="23"/>
      <c r="B34" s="23"/>
      <c r="C34" s="23"/>
      <c r="D34" s="23"/>
      <c r="E34" s="23"/>
      <c r="F34" s="23"/>
      <c r="G34" s="23"/>
      <c r="H34" s="23"/>
    </row>
    <row r="35" spans="1:8">
      <c r="A35" s="23"/>
      <c r="B35" s="23"/>
      <c r="C35" s="23"/>
      <c r="D35" s="23"/>
      <c r="E35" s="23"/>
      <c r="F35" s="23"/>
      <c r="G35" s="23"/>
      <c r="H35" s="23"/>
    </row>
    <row r="36" spans="1:8">
      <c r="A36" s="23"/>
      <c r="B36" s="23"/>
      <c r="C36" s="23"/>
      <c r="D36" s="23"/>
      <c r="E36" s="23"/>
      <c r="F36" s="23"/>
      <c r="G36" s="23"/>
      <c r="H36" s="23"/>
    </row>
    <row r="37" spans="1:8">
      <c r="A37" s="23"/>
      <c r="B37" s="23"/>
      <c r="C37" s="23"/>
      <c r="D37" s="23"/>
      <c r="E37" s="23"/>
      <c r="F37" s="23"/>
      <c r="G37" s="23"/>
      <c r="H37" s="23"/>
    </row>
    <row r="38" spans="1:8">
      <c r="A38" s="23"/>
      <c r="B38" s="23"/>
      <c r="C38" s="23"/>
      <c r="D38" s="23"/>
      <c r="E38" s="23"/>
      <c r="F38" s="23"/>
      <c r="G38" s="23"/>
      <c r="H38" s="23"/>
    </row>
    <row r="39" spans="1:8">
      <c r="A39" s="23"/>
      <c r="B39" s="23"/>
      <c r="C39" s="23"/>
      <c r="D39" s="23"/>
      <c r="E39" s="23"/>
      <c r="F39" s="23"/>
      <c r="G39" s="23"/>
      <c r="H39" s="23"/>
    </row>
    <row r="40" spans="1:8">
      <c r="A40" s="23"/>
      <c r="B40" s="23"/>
      <c r="C40" s="23"/>
      <c r="D40" s="23"/>
      <c r="E40" s="23"/>
      <c r="F40" s="23"/>
      <c r="G40" s="23"/>
      <c r="H40" s="23"/>
    </row>
    <row r="41" spans="1:8">
      <c r="A41" s="23"/>
      <c r="B41" s="23"/>
      <c r="C41" s="23"/>
      <c r="D41" s="23"/>
      <c r="E41" s="23"/>
      <c r="F41" s="23"/>
      <c r="G41" s="23"/>
      <c r="H41" s="23"/>
    </row>
    <row r="42" spans="1:8">
      <c r="A42" s="23"/>
      <c r="B42" s="23"/>
      <c r="C42" s="23"/>
      <c r="D42" s="23"/>
      <c r="E42" s="23"/>
      <c r="F42" s="23"/>
      <c r="G42" s="23"/>
      <c r="H42" s="23"/>
    </row>
    <row r="43" spans="1:8">
      <c r="A43" s="23"/>
      <c r="B43" s="23"/>
      <c r="C43" s="23"/>
      <c r="D43" s="23"/>
      <c r="E43" s="23"/>
      <c r="F43" s="23"/>
      <c r="G43" s="23"/>
      <c r="H43" s="23"/>
    </row>
    <row r="44" spans="1:8">
      <c r="A44" s="23"/>
      <c r="B44" s="23"/>
      <c r="C44" s="23"/>
      <c r="D44" s="23"/>
      <c r="E44" s="23"/>
      <c r="F44" s="23"/>
      <c r="G44" s="23"/>
      <c r="H44" s="23"/>
    </row>
    <row r="45" spans="1:8">
      <c r="A45" s="23"/>
      <c r="B45" s="23"/>
      <c r="C45" s="23"/>
      <c r="D45" s="23"/>
      <c r="E45" s="23"/>
      <c r="F45" s="23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8">
      <c r="A49" s="23"/>
      <c r="B49" s="23"/>
      <c r="C49" s="23"/>
      <c r="D49" s="23"/>
      <c r="E49" s="23"/>
      <c r="F49" s="23"/>
      <c r="G49" s="23"/>
      <c r="H49" s="23"/>
    </row>
    <row r="50" spans="1:8">
      <c r="A50" s="23"/>
      <c r="B50" s="23"/>
      <c r="C50" s="23"/>
      <c r="D50" s="23"/>
      <c r="E50" s="23"/>
      <c r="F50" s="23"/>
      <c r="G50" s="23"/>
      <c r="H50" s="2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>
      <selection sqref="A1:F1"/>
    </sheetView>
  </sheetViews>
  <sheetFormatPr defaultRowHeight="14"/>
  <cols>
    <col min="1" max="1" width="26" customWidth="1"/>
    <col min="2" max="2" width="36" customWidth="1"/>
    <col min="3" max="4" width="30" customWidth="1"/>
    <col min="5" max="5" width="28" customWidth="1"/>
    <col min="6" max="6" width="32" customWidth="1"/>
  </cols>
  <sheetData>
    <row r="1" spans="1:8" ht="15">
      <c r="A1" s="27" t="s">
        <v>139</v>
      </c>
      <c r="B1" s="25"/>
      <c r="C1" s="25"/>
      <c r="D1" s="25"/>
      <c r="E1" s="25"/>
      <c r="F1" s="25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>
      <c r="A3" s="1" t="s">
        <v>140</v>
      </c>
      <c r="B3" s="2" t="s">
        <v>141</v>
      </c>
      <c r="C3" s="2" t="s">
        <v>142</v>
      </c>
      <c r="D3" s="2" t="s">
        <v>143</v>
      </c>
      <c r="E3" s="2" t="s">
        <v>144</v>
      </c>
      <c r="F3" s="3" t="s">
        <v>4</v>
      </c>
      <c r="G3" s="23"/>
      <c r="H3" s="23"/>
    </row>
    <row r="4" spans="1:8" ht="25">
      <c r="A4" s="4" t="s">
        <v>145</v>
      </c>
      <c r="B4" s="5" t="s">
        <v>146</v>
      </c>
      <c r="C4" s="5" t="s">
        <v>147</v>
      </c>
      <c r="D4" s="5" t="s">
        <v>148</v>
      </c>
      <c r="E4" s="21" t="s">
        <v>149</v>
      </c>
      <c r="F4" s="6" t="s">
        <v>150</v>
      </c>
      <c r="G4" s="23"/>
      <c r="H4" s="23"/>
    </row>
    <row r="5" spans="1:8" ht="37.5">
      <c r="A5" s="7" t="s">
        <v>151</v>
      </c>
      <c r="B5" s="8" t="s">
        <v>152</v>
      </c>
      <c r="C5" s="8" t="s">
        <v>153</v>
      </c>
      <c r="D5" s="8" t="s">
        <v>154</v>
      </c>
      <c r="E5" s="22" t="s">
        <v>155</v>
      </c>
      <c r="F5" s="9" t="s">
        <v>156</v>
      </c>
      <c r="G5" s="23"/>
      <c r="H5" s="23"/>
    </row>
    <row r="6" spans="1:8" ht="26">
      <c r="A6" s="7" t="s">
        <v>157</v>
      </c>
      <c r="B6" s="8" t="s">
        <v>158</v>
      </c>
      <c r="C6" s="8" t="s">
        <v>159</v>
      </c>
      <c r="D6" s="8" t="s">
        <v>160</v>
      </c>
      <c r="E6" s="22" t="s">
        <v>161</v>
      </c>
      <c r="F6" s="9" t="s">
        <v>162</v>
      </c>
      <c r="G6" s="23"/>
      <c r="H6" s="23"/>
    </row>
    <row r="7" spans="1:8" ht="25">
      <c r="A7" s="7" t="s">
        <v>163</v>
      </c>
      <c r="B7" s="8" t="s">
        <v>164</v>
      </c>
      <c r="C7" s="8" t="s">
        <v>165</v>
      </c>
      <c r="D7" s="8" t="s">
        <v>166</v>
      </c>
      <c r="E7" s="22" t="s">
        <v>167</v>
      </c>
      <c r="F7" s="9" t="s">
        <v>168</v>
      </c>
      <c r="G7" s="23"/>
      <c r="H7" s="23"/>
    </row>
    <row r="8" spans="1:8" ht="37.5">
      <c r="A8" s="7" t="s">
        <v>169</v>
      </c>
      <c r="B8" s="8" t="s">
        <v>170</v>
      </c>
      <c r="C8" s="8" t="s">
        <v>171</v>
      </c>
      <c r="D8" s="8" t="s">
        <v>172</v>
      </c>
      <c r="E8" s="22" t="s">
        <v>173</v>
      </c>
      <c r="F8" s="9" t="s">
        <v>174</v>
      </c>
      <c r="G8" s="23"/>
      <c r="H8" s="23"/>
    </row>
    <row r="9" spans="1:8" ht="25">
      <c r="A9" s="7" t="s">
        <v>175</v>
      </c>
      <c r="B9" s="8" t="s">
        <v>176</v>
      </c>
      <c r="C9" s="8" t="s">
        <v>177</v>
      </c>
      <c r="D9" s="8" t="s">
        <v>178</v>
      </c>
      <c r="E9" s="22" t="s">
        <v>179</v>
      </c>
      <c r="F9" s="9" t="s">
        <v>180</v>
      </c>
      <c r="G9" s="23"/>
      <c r="H9" s="23"/>
    </row>
    <row r="10" spans="1:8" ht="25">
      <c r="A10" s="7" t="s">
        <v>181</v>
      </c>
      <c r="B10" s="8" t="s">
        <v>182</v>
      </c>
      <c r="C10" s="8" t="s">
        <v>183</v>
      </c>
      <c r="D10" s="8" t="s">
        <v>184</v>
      </c>
      <c r="E10" s="22" t="s">
        <v>185</v>
      </c>
      <c r="F10" s="9" t="s">
        <v>186</v>
      </c>
      <c r="G10" s="23"/>
      <c r="H10" s="23"/>
    </row>
    <row r="11" spans="1:8" ht="37.5">
      <c r="A11" s="10" t="s">
        <v>134</v>
      </c>
      <c r="B11" s="11" t="s">
        <v>187</v>
      </c>
      <c r="C11" s="11" t="s">
        <v>188</v>
      </c>
      <c r="D11" s="11" t="s">
        <v>189</v>
      </c>
      <c r="E11" s="22" t="s">
        <v>190</v>
      </c>
      <c r="F11" s="12" t="s">
        <v>191</v>
      </c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23"/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23"/>
      <c r="B30" s="23"/>
      <c r="C30" s="23"/>
      <c r="D30" s="23"/>
      <c r="E30" s="23"/>
      <c r="F30" s="23"/>
      <c r="G30" s="23"/>
      <c r="H30" s="2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/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4" spans="1:8">
      <c r="A34" s="23"/>
      <c r="B34" s="23"/>
      <c r="C34" s="23"/>
      <c r="D34" s="23"/>
      <c r="E34" s="23"/>
      <c r="F34" s="23"/>
      <c r="G34" s="23"/>
      <c r="H34" s="23"/>
    </row>
    <row r="35" spans="1:8">
      <c r="A35" s="23"/>
      <c r="B35" s="23"/>
      <c r="C35" s="23"/>
      <c r="D35" s="23"/>
      <c r="E35" s="23"/>
      <c r="F35" s="23"/>
      <c r="G35" s="23"/>
      <c r="H35" s="23"/>
    </row>
    <row r="36" spans="1:8">
      <c r="A36" s="23"/>
      <c r="B36" s="23"/>
      <c r="C36" s="23"/>
      <c r="D36" s="23"/>
      <c r="E36" s="23"/>
      <c r="F36" s="23"/>
      <c r="G36" s="23"/>
      <c r="H36" s="23"/>
    </row>
    <row r="37" spans="1:8">
      <c r="A37" s="23"/>
      <c r="B37" s="23"/>
      <c r="C37" s="23"/>
      <c r="D37" s="23"/>
      <c r="E37" s="23"/>
      <c r="F37" s="23"/>
      <c r="G37" s="23"/>
      <c r="H37" s="23"/>
    </row>
    <row r="38" spans="1:8">
      <c r="A38" s="23"/>
      <c r="B38" s="23"/>
      <c r="C38" s="23"/>
      <c r="D38" s="23"/>
      <c r="E38" s="23"/>
      <c r="F38" s="23"/>
      <c r="G38" s="23"/>
      <c r="H38" s="23"/>
    </row>
    <row r="39" spans="1:8">
      <c r="A39" s="23"/>
      <c r="B39" s="23"/>
      <c r="C39" s="23"/>
      <c r="D39" s="23"/>
      <c r="E39" s="23"/>
      <c r="F39" s="23"/>
      <c r="G39" s="23"/>
      <c r="H39" s="23"/>
    </row>
    <row r="40" spans="1:8">
      <c r="A40" s="23"/>
      <c r="B40" s="23"/>
      <c r="C40" s="23"/>
      <c r="D40" s="23"/>
      <c r="E40" s="23"/>
      <c r="F40" s="23"/>
      <c r="G40" s="23"/>
      <c r="H40" s="23"/>
    </row>
    <row r="41" spans="1:8">
      <c r="A41" s="23"/>
      <c r="B41" s="23"/>
      <c r="C41" s="23"/>
      <c r="D41" s="23"/>
      <c r="E41" s="23"/>
      <c r="F41" s="23"/>
      <c r="G41" s="23"/>
      <c r="H41" s="23"/>
    </row>
    <row r="42" spans="1:8">
      <c r="A42" s="23"/>
      <c r="B42" s="23"/>
      <c r="C42" s="23"/>
      <c r="D42" s="23"/>
      <c r="E42" s="23"/>
      <c r="F42" s="23"/>
      <c r="G42" s="23"/>
      <c r="H42" s="23"/>
    </row>
    <row r="43" spans="1:8">
      <c r="A43" s="23"/>
      <c r="B43" s="23"/>
      <c r="C43" s="23"/>
      <c r="D43" s="23"/>
      <c r="E43" s="23"/>
      <c r="F43" s="23"/>
      <c r="G43" s="23"/>
      <c r="H43" s="23"/>
    </row>
    <row r="44" spans="1:8">
      <c r="A44" s="23"/>
      <c r="B44" s="23"/>
      <c r="C44" s="23"/>
      <c r="D44" s="23"/>
      <c r="E44" s="23"/>
      <c r="F44" s="23"/>
      <c r="G44" s="23"/>
      <c r="H44" s="23"/>
    </row>
    <row r="45" spans="1:8">
      <c r="A45" s="23"/>
      <c r="B45" s="23"/>
      <c r="C45" s="23"/>
      <c r="D45" s="23"/>
      <c r="E45" s="23"/>
      <c r="F45" s="23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8">
      <c r="A49" s="23"/>
      <c r="B49" s="23"/>
      <c r="C49" s="23"/>
      <c r="D49" s="23"/>
      <c r="E49" s="23"/>
      <c r="F49" s="23"/>
      <c r="G49" s="23"/>
      <c r="H49" s="23"/>
    </row>
    <row r="50" spans="1:8">
      <c r="A50" s="23"/>
      <c r="B50" s="23"/>
      <c r="C50" s="23"/>
      <c r="D50" s="23"/>
      <c r="E50" s="23"/>
      <c r="F50" s="23"/>
      <c r="G50" s="23"/>
      <c r="H50" s="2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F4" sqref="F4:F6"/>
    </sheetView>
  </sheetViews>
  <sheetFormatPr defaultRowHeight="14"/>
  <cols>
    <col min="1" max="1" width="28" customWidth="1"/>
    <col min="2" max="2" width="44" customWidth="1"/>
    <col min="3" max="5" width="16" customWidth="1"/>
    <col min="6" max="6" width="18" customWidth="1"/>
    <col min="7" max="7" width="42" customWidth="1"/>
  </cols>
  <sheetData>
    <row r="1" spans="1:8" ht="15">
      <c r="A1" s="27" t="s">
        <v>192</v>
      </c>
      <c r="B1" s="25"/>
      <c r="C1" s="25"/>
      <c r="D1" s="25"/>
      <c r="E1" s="25"/>
      <c r="F1" s="25"/>
      <c r="G1" s="25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3" spans="1:8" ht="28">
      <c r="A3" s="1" t="s">
        <v>193</v>
      </c>
      <c r="B3" s="2" t="s">
        <v>194</v>
      </c>
      <c r="C3" s="2" t="s">
        <v>195</v>
      </c>
      <c r="D3" s="2" t="s">
        <v>196</v>
      </c>
      <c r="E3" s="2" t="s">
        <v>197</v>
      </c>
      <c r="F3" s="2" t="s">
        <v>198</v>
      </c>
      <c r="G3" s="3" t="s">
        <v>199</v>
      </c>
      <c r="H3" s="23"/>
    </row>
    <row r="4" spans="1:8" ht="25">
      <c r="A4" s="4" t="s">
        <v>36</v>
      </c>
      <c r="B4" s="5" t="s">
        <v>200</v>
      </c>
      <c r="C4" s="5">
        <v>20</v>
      </c>
      <c r="D4" s="5">
        <v>10</v>
      </c>
      <c r="E4" s="5">
        <v>250</v>
      </c>
      <c r="F4" s="15">
        <f>C4*D4*E4/60</f>
        <v>833.33333333333337</v>
      </c>
      <c r="G4" s="6" t="s">
        <v>201</v>
      </c>
      <c r="H4" s="23"/>
    </row>
    <row r="5" spans="1:8" ht="37.5">
      <c r="A5" s="7" t="s">
        <v>39</v>
      </c>
      <c r="B5" s="8" t="s">
        <v>202</v>
      </c>
      <c r="C5" s="8">
        <v>20</v>
      </c>
      <c r="D5" s="8">
        <v>20</v>
      </c>
      <c r="E5" s="8">
        <v>250</v>
      </c>
      <c r="F5" s="16">
        <f>C5*D5*E5/60</f>
        <v>1666.6666666666667</v>
      </c>
      <c r="G5" s="9" t="s">
        <v>203</v>
      </c>
      <c r="H5" s="23"/>
    </row>
    <row r="6" spans="1:8" ht="25">
      <c r="A6" s="7" t="s">
        <v>42</v>
      </c>
      <c r="B6" s="8" t="s">
        <v>204</v>
      </c>
      <c r="C6" s="8">
        <v>1</v>
      </c>
      <c r="D6" s="8">
        <v>30</v>
      </c>
      <c r="E6" s="8">
        <v>250</v>
      </c>
      <c r="F6" s="16">
        <f>C6*D6*E6/60</f>
        <v>125</v>
      </c>
      <c r="G6" s="9" t="s">
        <v>205</v>
      </c>
      <c r="H6" s="23"/>
    </row>
    <row r="7" spans="1:8" ht="25">
      <c r="A7" s="10" t="s">
        <v>45</v>
      </c>
      <c r="B7" s="11" t="s">
        <v>206</v>
      </c>
      <c r="C7" s="11"/>
      <c r="D7" s="11"/>
      <c r="E7" s="11"/>
      <c r="F7" s="16">
        <f>SUM(F4:F6)</f>
        <v>2625</v>
      </c>
      <c r="G7" s="12" t="s">
        <v>207</v>
      </c>
      <c r="H7" s="23"/>
    </row>
    <row r="8" spans="1:8">
      <c r="A8" s="23"/>
      <c r="B8" s="23"/>
      <c r="C8" s="23"/>
      <c r="D8" s="23"/>
      <c r="E8" s="23"/>
      <c r="F8" s="23"/>
      <c r="G8" s="23"/>
      <c r="H8" s="23"/>
    </row>
    <row r="9" spans="1:8">
      <c r="A9" s="23"/>
      <c r="B9" s="23"/>
      <c r="C9" s="23"/>
      <c r="D9" s="23"/>
      <c r="E9" s="23"/>
      <c r="F9" s="23"/>
      <c r="G9" s="23"/>
      <c r="H9" s="23"/>
    </row>
    <row r="10" spans="1:8">
      <c r="A10" s="23"/>
      <c r="B10" s="23"/>
      <c r="C10" s="23"/>
      <c r="D10" s="23"/>
      <c r="E10" s="23"/>
      <c r="F10" s="23"/>
      <c r="G10" s="23"/>
      <c r="H10" s="23"/>
    </row>
    <row r="11" spans="1:8">
      <c r="A11" s="23"/>
      <c r="B11" s="23"/>
      <c r="C11" s="23"/>
      <c r="D11" s="23"/>
      <c r="E11" s="23"/>
      <c r="F11" s="23"/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  <row r="13" spans="1:8">
      <c r="A13" s="23"/>
      <c r="B13" s="23"/>
      <c r="C13" s="23"/>
      <c r="D13" s="23"/>
      <c r="E13" s="23"/>
      <c r="F13" s="23"/>
      <c r="G13" s="23"/>
      <c r="H13" s="23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3" spans="1:8">
      <c r="A23" s="23"/>
      <c r="B23" s="23"/>
      <c r="C23" s="23"/>
      <c r="D23" s="23"/>
      <c r="E23" s="23"/>
      <c r="F23" s="23"/>
      <c r="G23" s="23"/>
      <c r="H23" s="23"/>
    </row>
    <row r="24" spans="1:8">
      <c r="A24" s="23"/>
      <c r="B24" s="23"/>
      <c r="C24" s="23"/>
      <c r="D24" s="23"/>
      <c r="E24" s="23"/>
      <c r="F24" s="23"/>
      <c r="G24" s="23"/>
      <c r="H24" s="23"/>
    </row>
    <row r="25" spans="1:8">
      <c r="A25" s="23"/>
      <c r="B25" s="23"/>
      <c r="C25" s="23"/>
      <c r="D25" s="23"/>
      <c r="E25" s="23"/>
      <c r="F25" s="23"/>
      <c r="G25" s="23"/>
      <c r="H25" s="23"/>
    </row>
    <row r="26" spans="1:8">
      <c r="A26" s="23"/>
      <c r="B26" s="23"/>
      <c r="C26" s="23"/>
      <c r="D26" s="23"/>
      <c r="E26" s="23"/>
      <c r="F26" s="23"/>
      <c r="G26" s="23"/>
      <c r="H26" s="23"/>
    </row>
    <row r="27" spans="1:8">
      <c r="A27" s="23"/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23"/>
      <c r="B30" s="23"/>
      <c r="C30" s="23"/>
      <c r="D30" s="23"/>
      <c r="E30" s="23"/>
      <c r="F30" s="23"/>
      <c r="G30" s="23"/>
      <c r="H30" s="23"/>
    </row>
    <row r="31" spans="1:8">
      <c r="A31" s="23"/>
      <c r="B31" s="23"/>
      <c r="C31" s="23"/>
      <c r="D31" s="23"/>
      <c r="E31" s="23"/>
      <c r="F31" s="23"/>
      <c r="G31" s="23"/>
      <c r="H31" s="23"/>
    </row>
    <row r="32" spans="1:8">
      <c r="A32" s="23"/>
      <c r="B32" s="23"/>
      <c r="C32" s="23"/>
      <c r="D32" s="23"/>
      <c r="E32" s="23"/>
      <c r="F32" s="23"/>
      <c r="G32" s="23"/>
      <c r="H32" s="23"/>
    </row>
    <row r="33" spans="1:8">
      <c r="A33" s="23"/>
      <c r="B33" s="23"/>
      <c r="C33" s="23"/>
      <c r="D33" s="23"/>
      <c r="E33" s="23"/>
      <c r="F33" s="23"/>
      <c r="G33" s="23"/>
      <c r="H33" s="23"/>
    </row>
    <row r="34" spans="1:8">
      <c r="A34" s="23"/>
      <c r="B34" s="23"/>
      <c r="C34" s="23"/>
      <c r="D34" s="23"/>
      <c r="E34" s="23"/>
      <c r="F34" s="23"/>
      <c r="G34" s="23"/>
      <c r="H34" s="23"/>
    </row>
    <row r="35" spans="1:8">
      <c r="A35" s="23"/>
      <c r="B35" s="23"/>
      <c r="C35" s="23"/>
      <c r="D35" s="23"/>
      <c r="E35" s="23"/>
      <c r="F35" s="23"/>
      <c r="G35" s="23"/>
      <c r="H35" s="23"/>
    </row>
    <row r="36" spans="1:8">
      <c r="A36" s="23"/>
      <c r="B36" s="23"/>
      <c r="C36" s="23"/>
      <c r="D36" s="23"/>
      <c r="E36" s="23"/>
      <c r="F36" s="23"/>
      <c r="G36" s="23"/>
      <c r="H36" s="23"/>
    </row>
    <row r="37" spans="1:8">
      <c r="A37" s="23"/>
      <c r="B37" s="23"/>
      <c r="C37" s="23"/>
      <c r="D37" s="23"/>
      <c r="E37" s="23"/>
      <c r="F37" s="23"/>
      <c r="G37" s="23"/>
      <c r="H37" s="23"/>
    </row>
    <row r="38" spans="1:8">
      <c r="A38" s="23"/>
      <c r="B38" s="23"/>
      <c r="C38" s="23"/>
      <c r="D38" s="23"/>
      <c r="E38" s="23"/>
      <c r="F38" s="23"/>
      <c r="G38" s="23"/>
      <c r="H38" s="23"/>
    </row>
    <row r="39" spans="1:8">
      <c r="A39" s="23"/>
      <c r="B39" s="23"/>
      <c r="C39" s="23"/>
      <c r="D39" s="23"/>
      <c r="E39" s="23"/>
      <c r="F39" s="23"/>
      <c r="G39" s="23"/>
      <c r="H39" s="23"/>
    </row>
    <row r="40" spans="1:8">
      <c r="A40" s="23"/>
      <c r="B40" s="23"/>
      <c r="C40" s="23"/>
      <c r="D40" s="23"/>
      <c r="E40" s="23"/>
      <c r="F40" s="23"/>
      <c r="G40" s="23"/>
      <c r="H40" s="23"/>
    </row>
    <row r="41" spans="1:8">
      <c r="A41" s="23"/>
      <c r="B41" s="23"/>
      <c r="C41" s="23"/>
      <c r="D41" s="23"/>
      <c r="E41" s="23"/>
      <c r="F41" s="23"/>
      <c r="G41" s="23"/>
      <c r="H41" s="23"/>
    </row>
    <row r="42" spans="1:8">
      <c r="A42" s="23"/>
      <c r="B42" s="23"/>
      <c r="C42" s="23"/>
      <c r="D42" s="23"/>
      <c r="E42" s="23"/>
      <c r="F42" s="23"/>
      <c r="G42" s="23"/>
      <c r="H42" s="23"/>
    </row>
    <row r="43" spans="1:8">
      <c r="A43" s="23"/>
      <c r="B43" s="23"/>
      <c r="C43" s="23"/>
      <c r="D43" s="23"/>
      <c r="E43" s="23"/>
      <c r="F43" s="23"/>
      <c r="G43" s="23"/>
      <c r="H43" s="23"/>
    </row>
    <row r="44" spans="1:8">
      <c r="A44" s="23"/>
      <c r="B44" s="23"/>
      <c r="C44" s="23"/>
      <c r="D44" s="23"/>
      <c r="E44" s="23"/>
      <c r="F44" s="23"/>
      <c r="G44" s="23"/>
      <c r="H44" s="23"/>
    </row>
    <row r="45" spans="1:8">
      <c r="A45" s="23"/>
      <c r="B45" s="23"/>
      <c r="C45" s="23"/>
      <c r="D45" s="23"/>
      <c r="E45" s="23"/>
      <c r="F45" s="23"/>
      <c r="G45" s="23"/>
      <c r="H45" s="23"/>
    </row>
    <row r="46" spans="1:8">
      <c r="A46" s="23"/>
      <c r="B46" s="23"/>
      <c r="C46" s="23"/>
      <c r="D46" s="23"/>
      <c r="E46" s="23"/>
      <c r="F46" s="23"/>
      <c r="G46" s="23"/>
      <c r="H46" s="23"/>
    </row>
    <row r="47" spans="1:8">
      <c r="A47" s="23"/>
      <c r="B47" s="23"/>
      <c r="C47" s="23"/>
      <c r="D47" s="23"/>
      <c r="E47" s="23"/>
      <c r="F47" s="23"/>
      <c r="G47" s="23"/>
      <c r="H47" s="23"/>
    </row>
    <row r="48" spans="1:8">
      <c r="A48" s="23"/>
      <c r="B48" s="23"/>
      <c r="C48" s="23"/>
      <c r="D48" s="23"/>
      <c r="E48" s="23"/>
      <c r="F48" s="23"/>
      <c r="G48" s="23"/>
      <c r="H48" s="23"/>
    </row>
    <row r="49" spans="1:8">
      <c r="A49" s="23"/>
      <c r="B49" s="23"/>
      <c r="C49" s="23"/>
      <c r="D49" s="23"/>
      <c r="E49" s="23"/>
      <c r="F49" s="23"/>
      <c r="G49" s="23"/>
      <c r="H49" s="23"/>
    </row>
    <row r="50" spans="1:8">
      <c r="A50" s="23"/>
      <c r="B50" s="23"/>
      <c r="C50" s="23"/>
      <c r="D50" s="23"/>
      <c r="E50" s="23"/>
      <c r="F50" s="23"/>
      <c r="G50" s="23"/>
      <c r="H50" s="23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7d64f09-e217-463c-ac25-a30717fce818}" enabled="1" method="Standard" siteId="{b1b05ab2-8e59-4f35-8b83-76d9a02639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Technical Dashboard</vt:lpstr>
      <vt:lpstr>Technical Stats Matrix</vt:lpstr>
      <vt:lpstr>SNOW + Teams Details</vt:lpstr>
      <vt:lpstr>Teams Alerting Lambda</vt:lpstr>
      <vt:lpstr>Effort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Nalwaade, Pavithra</cp:lastModifiedBy>
  <dcterms:created xsi:type="dcterms:W3CDTF">2026-06-25T15:26:17Z</dcterms:created>
  <dcterms:modified xsi:type="dcterms:W3CDTF">2026-06-25T15:26:17Z</dcterms:modified>
</cp:coreProperties>
</file>